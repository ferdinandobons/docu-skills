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Scenarios" sheetId="6" state="visible" r:id="rId6"/>
    <sheet xmlns:r="http://schemas.openxmlformats.org/officeDocument/2006/relationships" name="Data" sheetId="7" state="visible" r:id="rId7"/>
  </sheets>
  <definedNames>
    <definedName name="client_name">'Cover'!$B$4</definedName>
    <definedName name="dashboard_kpis">'Dashboard'!$A$4:$H$5</definedName>
    <definedName name="data_block">'Data'!$A$2:$D$4</definedName>
    <definedName name="headline_kpi">'Summary'!$B$9</definedName>
    <definedName name="inputs_block">'Inputs'!$A$4:$C$7</definedName>
    <definedName name="model_body">'Model'!$A$4:$G$6</definedName>
    <definedName name="period">'Cover'!$B$5</definedName>
    <definedName name="report_subtitle">'Cover'!$A$2</definedName>
    <definedName name="report_title">'Cover'!$A$1</definedName>
    <definedName name="scenario_block">'Scenarios'!$A$5:$D$8</definedName>
    <definedName name="_xlnm.Print_Area" localSheetId="0">'Cover'!$A$1:$G$13</definedName>
    <definedName name="q_total" localSheetId="2">Model!$F$7</definedName>
    <definedName name="_xlnm.Print_Titles" localSheetId="2">'Model'!$1:$3</definedName>
    <definedName name="_xlnm.Print_Area" localSheetId="2">'Model'!$A$1:$G$29</definedName>
    <definedName name="_xlnm.Print_Titles" localSheetId="3">'Summary'!$1:$3</definedName>
    <definedName name="_xlnm.Print_Titles" localSheetId="4">'Dashboard'!$1:$2</definedName>
    <definedName name="_xlnm.Print_Area" localSheetId="4">'Dashboard'!$A$1:$H$24</definedName>
    <definedName name="_xlnm.Print_Titles" localSheetId="5">'Scenarios'!$1:$5</definedName>
    <definedName name="_xlnm.Print_Area" localSheetId="5">'Scenarios'!$A$1:$D$13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_($* #,##0.00_);_($* (#,##0.00);_($* &quot;-&quot;??_);_(@_)"/>
    <numFmt numFmtId="165" formatCode="0.0%"/>
    <numFmt numFmtId="166" formatCode="_($* #,##0_);_($* (#,##0);_($* &quot;-&quot;_);_(@_)"/>
    <numFmt numFmtId="167" formatCode="yyyy-mm-dd"/>
    <numFmt numFmtId="168" formatCode="0.00x"/>
    <numFmt numFmtId="169" formatCode="#,##0;[Red](#,##0)"/>
    <numFmt numFmtId="170" formatCode="+0.0%;-0.0%"/>
    <numFmt numFmtId="171" formatCode="#,##0 &quot;bps&quot;"/>
  </numFmts>
  <fonts count="14">
    <font>
      <name val="Calibri"/>
      <family val="2"/>
      <color theme="1"/>
      <sz val="11"/>
      <scheme val="minor"/>
    </font>
    <font>
      <name val="Arial"/>
      <b val="1"/>
      <color rgb="FF16213F"/>
      <sz val="20"/>
    </font>
    <font>
      <name val="Arial"/>
      <b val="1"/>
      <color rgb="FFFFFFFF"/>
      <sz val="11"/>
    </font>
    <font>
      <name val="Calibri"/>
      <color rgb="FF16213F"/>
      <sz val="11"/>
    </font>
    <font>
      <name val="Calibri"/>
      <color rgb="FF2B7CD3"/>
      <sz val="11"/>
    </font>
    <font>
      <name val="Arial"/>
      <b val="1"/>
      <color rgb="FFFFFFFF"/>
      <sz val="15"/>
    </font>
    <font>
      <name val="Arial"/>
      <i val="1"/>
      <color rgb="FF2B7CD3"/>
      <sz val="12"/>
    </font>
    <font>
      <name val="Arial"/>
      <b val="1"/>
      <color rgb="FF16213F"/>
      <sz val="11"/>
    </font>
    <font>
      <name val="Arial"/>
      <b val="1"/>
      <color rgb="FFFFFFFF"/>
      <sz val="20"/>
    </font>
    <font>
      <name val="Calibri"/>
      <color rgb="FF16213F"/>
      <sz val="10"/>
    </font>
    <font>
      <name val="Calibri"/>
      <b val="1"/>
      <color rgb="FF16213F"/>
      <sz val="11"/>
    </font>
    <font>
      <name val="Arial"/>
      <b val="1"/>
      <color rgb="FF16213F"/>
      <sz val="14"/>
    </font>
    <font>
      <name val="Arial"/>
      <b val="1"/>
      <color rgb="FF16213F"/>
      <sz val="18"/>
    </font>
    <font>
      <name val="Arial"/>
      <i val="1"/>
      <color rgb="FF2B7CD3"/>
      <sz val="11"/>
    </font>
  </fonts>
  <fills count="4">
    <fill>
      <patternFill/>
    </fill>
    <fill>
      <patternFill patternType="gray125"/>
    </fill>
    <fill>
      <patternFill patternType="solid">
        <fgColor rgb="FF16213F"/>
      </patternFill>
    </fill>
    <fill>
      <patternFill patternType="solid">
        <fgColor rgb="FFEAF1FF"/>
      </patternFill>
    </fill>
  </fills>
  <borders count="4">
    <border>
      <left/>
      <right/>
      <top/>
      <bottom/>
      <diagonal/>
    </border>
    <border/>
    <border>
      <left style="thin">
        <color rgb="FF16213F"/>
      </left>
      <right style="thin">
        <color rgb="FF16213F"/>
      </right>
      <top style="thin">
        <color rgb="FF16213F"/>
      </top>
      <bottom style="thin">
        <color rgb="FF16213F"/>
      </bottom>
    </border>
    <border>
      <top style="thin">
        <color rgb="FF16213F"/>
      </top>
    </border>
  </borders>
  <cellStyleXfs count="12">
    <xf numFmtId="0" fontId="0" fillId="0" borderId="0"/>
    <xf numFmtId="0" fontId="1" fillId="0" borderId="1" applyAlignment="1">
      <alignment horizontal="center" vertical="center"/>
    </xf>
    <xf numFmtId="0" fontId="2" fillId="2" borderId="2" applyAlignment="1">
      <alignment horizontal="center" vertical="center"/>
    </xf>
    <xf numFmtId="164" fontId="3" fillId="0" borderId="2"/>
    <xf numFmtId="165" fontId="4" fillId="0" borderId="2"/>
    <xf numFmtId="0" fontId="3" fillId="3" borderId="2"/>
    <xf numFmtId="0" fontId="5" fillId="2" borderId="2" applyAlignment="1">
      <alignment horizontal="center" vertical="center"/>
    </xf>
    <xf numFmtId="0" fontId="6" fillId="0" borderId="1" applyAlignment="1">
      <alignment horizontal="left" vertical="center"/>
    </xf>
    <xf numFmtId="166" fontId="7" fillId="0" borderId="3"/>
    <xf numFmtId="167" fontId="3" fillId="0" borderId="1"/>
    <xf numFmtId="168" fontId="3" fillId="0" borderId="1"/>
    <xf numFmtId="0" fontId="2" fillId="2" borderId="1" applyAlignment="1">
      <alignment horizontal="left" vertical="center"/>
    </xf>
  </cellStyleXfs>
  <cellXfs count="34">
    <xf numFmtId="0" fontId="0" fillId="0" borderId="0" pivotButton="0" quotePrefix="0" xfId="0"/>
    <xf numFmtId="0" fontId="8" fillId="2" borderId="1" applyAlignment="1" pivotButton="0" quotePrefix="0" xfId="1">
      <alignment horizontal="center" vertical="center"/>
    </xf>
    <xf numFmtId="0" fontId="6" fillId="0" borderId="1" applyAlignment="1" pivotButton="0" quotePrefix="0" xfId="7">
      <alignment horizontal="center" vertical="center"/>
    </xf>
    <xf numFmtId="0" fontId="2" fillId="2" borderId="2" applyAlignment="1" pivotButton="0" quotePrefix="0" xfId="2">
      <alignment horizontal="center" vertical="center"/>
    </xf>
    <xf numFmtId="3" fontId="5" fillId="2" borderId="2" applyAlignment="1" pivotButton="0" quotePrefix="0" xfId="6">
      <alignment horizontal="center" vertical="center"/>
    </xf>
    <xf numFmtId="165" fontId="5" fillId="2" borderId="2" applyAlignment="1" pivotButton="0" quotePrefix="0" xfId="6">
      <alignment horizontal="center" vertical="center"/>
    </xf>
    <xf numFmtId="0" fontId="5" fillId="2" borderId="2" applyAlignment="1" pivotButton="0" quotePrefix="0" xfId="6">
      <alignment horizontal="center" vertical="center"/>
    </xf>
    <xf numFmtId="0" fontId="5" fillId="2" borderId="2" applyAlignment="1" pivotButton="0" quotePrefix="0" xfId="6">
      <alignment horizontal="center" vertical="center" wrapText="1"/>
    </xf>
    <xf numFmtId="167" fontId="3" fillId="0" borderId="1" pivotButton="0" quotePrefix="0" xfId="9"/>
    <xf numFmtId="0" fontId="0" fillId="2" borderId="0" pivotButton="0" quotePrefix="0" xfId="0"/>
    <xf numFmtId="0" fontId="2" fillId="2" borderId="1" applyAlignment="1" pivotButton="0" quotePrefix="0" xfId="11">
      <alignment horizontal="left" vertical="center"/>
    </xf>
    <xf numFmtId="0" fontId="3" fillId="3" borderId="2" pivotButton="0" quotePrefix="0" xfId="5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3" fontId="3" fillId="3" borderId="2" applyProtection="1" pivotButton="0" quotePrefix="0" xfId="5">
      <protection locked="0" hidden="0"/>
    </xf>
    <xf numFmtId="164" fontId="3" fillId="0" borderId="2" applyProtection="1" pivotButton="0" quotePrefix="0" xfId="3">
      <protection locked="0" hidden="0"/>
    </xf>
    <xf numFmtId="165" fontId="4" fillId="0" borderId="2" applyProtection="1" pivotButton="0" quotePrefix="0" xfId="4">
      <protection locked="0" hidden="0"/>
    </xf>
    <xf numFmtId="3" fontId="0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6" fontId="7" fillId="0" borderId="3" pivotButton="0" quotePrefix="0" xfId="8"/>
    <xf numFmtId="3" fontId="7" fillId="0" borderId="3" pivotButton="0" quotePrefix="0" xfId="8"/>
    <xf numFmtId="164" fontId="3" fillId="0" borderId="2" pivotButton="0" quotePrefix="0" xfId="3"/>
    <xf numFmtId="165" fontId="4" fillId="0" borderId="2" pivotButton="0" quotePrefix="0" xfId="4"/>
    <xf numFmtId="0" fontId="12" fillId="0" borderId="0" pivotButton="0" quotePrefix="0" xfId="0"/>
    <xf numFmtId="0" fontId="13" fillId="0" borderId="0" pivotButton="0" quotePrefix="0" xfId="0"/>
    <xf numFmtId="3" fontId="5" fillId="2" borderId="2" applyAlignment="1" pivotButton="0" quotePrefix="0" xfId="6">
      <alignment horizontal="center" vertical="center" wrapText="1"/>
    </xf>
    <xf numFmtId="165" fontId="5" fillId="2" borderId="2" applyAlignment="1" pivotButton="0" quotePrefix="0" xfId="6">
      <alignment horizontal="center" vertical="center" wrapText="1"/>
    </xf>
    <xf numFmtId="49" fontId="5" fillId="2" borderId="2" applyAlignment="1" pivotButton="0" quotePrefix="0" xfId="6">
      <alignment horizontal="center" vertical="center" wrapText="1"/>
    </xf>
    <xf numFmtId="170" fontId="0" fillId="0" borderId="0" pivotButton="0" quotePrefix="0" xfId="0"/>
    <xf numFmtId="171" fontId="0" fillId="0" borderId="0" pivotButton="0" quotePrefix="0" xfId="0"/>
    <xf numFmtId="168" fontId="3" fillId="0" borderId="1" pivotButton="0" quotePrefix="0" xfId="10"/>
    <xf numFmtId="166" fontId="0" fillId="0" borderId="0" pivotButton="0" quotePrefix="0" xfId="0"/>
  </cellXfs>
  <cellStyles count="12">
    <cellStyle name="Normal" xfId="0" builtinId="0" hidden="0"/>
    <cellStyle name="BrandDocsTitle" xfId="1" hidden="0"/>
    <cellStyle name="BrandDocsHeader" xfId="2" hidden="0"/>
    <cellStyle name="BrandDocsCurrency" xfId="3" hidden="0"/>
    <cellStyle name="BrandDocsPercent" xfId="4" hidden="0"/>
    <cellStyle name="BrandDocsInput" xfId="5" hidden="0"/>
    <cellStyle name="BrandDocsKPI" xfId="6" hidden="0"/>
    <cellStyle name="BrandDocsSubtitle" xfId="7" hidden="0"/>
    <cellStyle name="BrandDocsTotal" xfId="8" hidden="0"/>
    <cellStyle name="BrandDocsDate" xfId="9" hidden="0"/>
    <cellStyle name="BrandDocsMultiple" xfId="10" hidden="0"/>
    <cellStyle name="BrandDocsBandHeader" xfId="11" hidden="0"/>
  </cellStyles>
  <dxfs count="7">
    <dxf>
      <fill>
        <patternFill patternType="solid">
          <fgColor rgb="FFEAF1FF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E0742B"/>
        </patternFill>
      </fill>
    </dxf>
    <dxf>
      <fill>
        <patternFill patternType="solid">
          <fgColor rgb="FFFFC7CE"/>
        </patternFill>
      </fill>
    </dxf>
    <dxf>
      <font>
        <b/>
        <color rgb="FFFFFFFF"/>
      </font>
      <fill>
        <patternFill>
          <fgColor rgb="FF16213F"/>
          <bgColor rgb="FF16213F"/>
        </patternFill>
      </fill>
    </dxf>
    <dxf>
      <fill>
        <patternFill>
          <fgColor rgb="FFEAF1FF"/>
          <bgColor rgb="FFEAF1FF"/>
        </patternFill>
      </fill>
    </dxf>
    <dxf>
      <font>
        <b/>
        <color rgb="FFFFFFFF"/>
      </font>
      <fill>
        <patternFill>
          <fgColor rgb="FF2B7CD3"/>
          <bgColor rgb="FF2B7CD3"/>
        </patternFill>
      </fill>
    </dxf>
  </dxfs>
  <tableStyles count="1" defaultTableStyle="TableStyleMedium9" defaultPivotStyle="PivotStyleLight16">
    <tableStyle name="BrandDocsTableStyle" pivot="0" count="3">
      <tableStyleElement type="headerRow" dxfId="4"/>
      <tableStyleElement type="firstRowStripe" dxfId="5"/>
      <tableStyleElement type="totalRow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net revenue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2B7CD3"/>
            </a:solidFill>
            <a:ln xmlns:a="http://schemas.openxmlformats.org/drawingml/2006/main">
              <a:prstDash val="solid"/>
            </a:ln>
          </spPr>
          <cat>
            <numRef>
              <f>'Model'!$B$3:$E$3</f>
            </numRef>
          </cat>
          <val>
            <numRef>
              <f>'Model'!$B$7:$E$7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revenue trend (Q1-Q4)</a:t>
            </a:r>
          </a:p>
        </rich>
      </tx>
    </title>
    <plotArea>
      <lineChart>
        <grouping val="standard"/>
        <ser>
          <idx val="0"/>
          <order val="0"/>
          <tx>
            <v>Net revenue</v>
          </tx>
          <spPr>
            <a:ln xmlns:a="http://schemas.openxmlformats.org/drawingml/2006/main" w="28000">
              <a:solidFill>
                <a:srgbClr val="E0742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'Model'!$B$3:$E$3</f>
            </numRef>
          </cat>
          <val>
            <numRef>
              <f>'Model'!$B$7:$E$7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'Dashboard'!B7</f>
            </strRef>
          </tx>
          <spPr>
            <a:solidFill xmlns:a="http://schemas.openxmlformats.org/drawingml/2006/main">
              <a:srgbClr val="2B7CD3"/>
            </a:solidFill>
            <a:ln xmlns:a="http://schemas.openxmlformats.org/drawingml/2006/main">
              <a:prstDash val="solid"/>
            </a:ln>
          </spPr>
          <cat>
            <numRef>
              <f>'Dashboard'!$A$8:$A$11</f>
            </numRef>
          </cat>
          <val>
            <numRef>
              <f>'Dashboard'!$B$8:$B$11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BrandDocs</author>
  </authors>
  <commentList>
    <comment ref="D5" authorId="0" shapeId="0">
      <text>
        <t>Synthetic figure - pulled live from the Summary tab.</t>
      </text>
    </comment>
  </commentList>
</comments>
</file>

<file path=xl/comments/comment2.xml><?xml version="1.0" encoding="utf-8"?>
<comments xmlns="http://schemas.openxmlformats.org/spreadsheetml/2006/main">
  <authors>
    <author>BrandDocs</author>
  </authors>
  <commentList>
    <comment ref="B4" authorId="0" shapeId="0">
      <text>
        <t>Synthetic input - replace with your data.</t>
      </text>
    </comment>
    <comment ref="B5" authorId="0" shapeId="0">
      <text>
        <t>Synthetic input - replace with your data.</t>
      </text>
    </comment>
    <comment ref="B6" authorId="0" shapeId="0">
      <text>
        <t>Synthetic input - replace with your data.</t>
      </text>
    </comment>
    <comment ref="B7" authorId="0" shapeId="0">
      <text>
        <t>Synthetic input - replace with your data.</t>
      </text>
    </comment>
  </commentList>
</comments>
</file>

<file path=xl/comments/comment3.xml><?xml version="1.0" encoding="utf-8"?>
<comments xmlns="http://schemas.openxmlformats.org/spreadsheetml/2006/main">
  <authors>
    <author>BrandDocs</author>
  </authors>
  <commentList>
    <comment ref="B9" authorId="0" shapeId="0">
      <text>
        <t>Synthetic headline - derived from the model and inputs tabs.</t>
      </text>
    </comment>
  </commentList>
</comments>
</file>

<file path=xl/comments/comment4.xml><?xml version="1.0" encoding="utf-8"?>
<comments xmlns="http://schemas.openxmlformats.org/spreadsheetml/2006/main">
  <authors>
    <author>BrandDocs</author>
  </authors>
  <commentList>
    <comment ref="B3" authorId="0" shapeId="0">
      <text>
        <t>Synthetic scenario selector used by formulas and visual QA.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image" Target="/xl/media/image2.png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1714500" cy="428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10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0</row>
      <rowOff>0</rowOff>
    </from>
    <ext cx="114300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7</row>
      <rowOff>0</rowOff>
    </from>
    <ext cx="306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BrandDocsDataTbl" displayName="BrandDocsDataTbl" ref="A3:G8" headerRowCount="1" totalsRowCount="1" totalsRowShown="1">
  <autoFilter ref="A3:G7"/>
  <tableColumns count="7">
    <tableColumn id="1" name="Line item"/>
    <tableColumn id="2" name="Q1"/>
    <tableColumn id="3" name="Q2"/>
    <tableColumn id="4" name="Q3"/>
    <tableColumn id="5" name="Q4"/>
    <tableColumn id="6" name="FY Total"/>
    <tableColumn id="7" name="% of F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randDocsScenarioTbl" displayName="BrandDocsScenarioTbl" ref="A5:D8" headerRowCount="1">
  <autoFilter ref="A5:D8"/>
  <tableColumns count="4">
    <tableColumn id="1" name="Scenario"/>
    <tableColumn id="2" name="Revenue multiplier"/>
    <tableColumn id="3" name="Margin delta"/>
    <tableColumn id="4" name="Narrative"/>
  </tableColumns>
  <tableStyleInfo name="BrandDocsTableSty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16213F"/>
      </a:dk1>
      <a:lt1>
        <a:srgbClr val="EAF1FF"/>
      </a:lt1>
      <a:dk2>
        <a:srgbClr val="2B7CD3"/>
      </a:dk2>
      <a:lt2>
        <a:srgbClr val="EAF1FF"/>
      </a:lt2>
      <a:accent1>
        <a:srgbClr val="2B7CD3"/>
      </a:accent1>
      <a:accent2>
        <a:srgbClr val="E0742B"/>
      </a:accent2>
      <a:accent3>
        <a:srgbClr val="DCE7FF"/>
      </a:accent3>
      <a:accent4>
        <a:srgbClr val="E0742B"/>
      </a:accent4>
      <a:accent5>
        <a:srgbClr val="2B7CD3"/>
      </a:accent5>
      <a:accent6>
        <a:srgbClr val="E0742B"/>
      </a:accent6>
      <a:hlink>
        <a:srgbClr val="2B7CD3"/>
      </a:hlink>
      <a:folHlink>
        <a:srgbClr val="E0742B"/>
      </a:folHlink>
    </a:clrScheme>
    <a:fontScheme name="Office">
      <a:maj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FY2025 Revenue Performance Review</t>
        </is>
      </c>
    </row>
    <row r="2">
      <c r="A2" s="2" t="inlineStr">
        <is>
          <t>Quarterly revenue model and executive summary</t>
        </is>
      </c>
    </row>
    <row r="4" ht="28" customHeight="1">
      <c r="A4" t="inlineStr">
        <is>
          <t>Prepared for</t>
        </is>
      </c>
      <c r="B4" t="inlineStr">
        <is>
          <t>BrandDocs Corp (synthetic demo)</t>
        </is>
      </c>
      <c r="D4" s="3" t="inlineStr">
        <is>
          <t>FY net revenue</t>
        </is>
      </c>
      <c r="E4" s="3" t="inlineStr">
        <is>
          <t>Net margin</t>
        </is>
      </c>
      <c r="F4" s="3" t="inlineStr">
        <is>
          <t>Brand audit</t>
        </is>
      </c>
      <c r="G4" s="3" t="inlineStr">
        <is>
          <t>Scope</t>
        </is>
      </c>
    </row>
    <row r="5" ht="28" customHeight="1">
      <c r="A5" t="inlineStr">
        <is>
          <t>Reporting period</t>
        </is>
      </c>
      <c r="B5" t="inlineStr">
        <is>
          <t>FY2025 (Q1-Q4)</t>
        </is>
      </c>
      <c r="D5" s="4">
        <f>Summary!B4</f>
        <v/>
      </c>
      <c r="E5" s="5">
        <f>Summary!B8</f>
        <v/>
      </c>
      <c r="F5" s="6" t="inlineStr">
        <is>
          <t>Deep QA</t>
        </is>
      </c>
      <c r="G5" s="7" t="inlineStr">
        <is>
          <t>3 formats</t>
        </is>
      </c>
    </row>
    <row r="6">
      <c r="A6" t="inlineStr">
        <is>
          <t>Generated on</t>
        </is>
      </c>
      <c r="B6" s="8" t="inlineStr">
        <is>
          <t>2026-01-15</t>
        </is>
      </c>
    </row>
    <row r="8" ht="28" customHeight="1">
      <c r="A8" s="9" t="n"/>
      <c r="B8" s="9" t="n"/>
      <c r="C8" s="9" t="n"/>
      <c r="D8" s="9" t="n"/>
      <c r="E8" s="9" t="n"/>
      <c r="F8" s="9" t="n"/>
      <c r="G8" s="9" t="n"/>
    </row>
    <row r="11">
      <c r="D11" s="10" t="inlineStr">
        <is>
          <t>Legend</t>
        </is>
      </c>
    </row>
    <row r="12">
      <c r="D12" s="11" t="inlineStr">
        <is>
          <t>Inputs</t>
        </is>
      </c>
      <c r="E12" s="12" t="inlineStr">
        <is>
          <t>Blue fill = editable assumptions you fill in</t>
        </is>
      </c>
    </row>
    <row r="13">
      <c r="D13" s="13" t="inlineStr">
        <is>
          <t>Formulas</t>
        </is>
      </c>
      <c r="E13" s="12" t="inlineStr">
        <is>
          <t>Navy text = model formulas (do not overwrite)</t>
        </is>
      </c>
    </row>
  </sheetData>
  <mergeCells count="4">
    <mergeCell ref="A8:G8"/>
    <mergeCell ref="A2:G2"/>
    <mergeCell ref="A1:G1"/>
    <mergeCell ref="D11:G11"/>
  </mergeCells>
  <pageMargins left="0.75" right="0.75" top="1" bottom="1" header="0.5" footer="0.5"/>
  <pageSetup fitToHeight="1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14" t="inlineStr">
        <is>
          <t>Model Inputs</t>
        </is>
      </c>
    </row>
    <row r="3">
      <c r="A3" s="3" t="inlineStr">
        <is>
          <t>Driver</t>
        </is>
      </c>
      <c r="B3" s="3" t="inlineStr">
        <is>
          <t>Value</t>
        </is>
      </c>
      <c r="C3" s="3" t="inlineStr">
        <is>
          <t>Unit</t>
        </is>
      </c>
    </row>
    <row r="4">
      <c r="A4" s="11" t="inlineStr">
        <is>
          <t>Units sold</t>
        </is>
      </c>
      <c r="B4" s="15" t="n">
        <v>29070</v>
      </c>
      <c r="C4" s="11" t="inlineStr">
        <is>
          <t>ea</t>
        </is>
      </c>
    </row>
    <row r="5">
      <c r="A5" s="11" t="inlineStr">
        <is>
          <t>Unit price</t>
        </is>
      </c>
      <c r="B5" s="16" t="n">
        <v>50</v>
      </c>
      <c r="C5" s="11" t="inlineStr">
        <is>
          <t>USD</t>
        </is>
      </c>
    </row>
    <row r="6">
      <c r="A6" s="11" t="inlineStr">
        <is>
          <t>Discount rate</t>
        </is>
      </c>
      <c r="B6" s="17" t="n">
        <v>0.12</v>
      </c>
      <c r="C6" s="11" t="inlineStr">
        <is>
          <t>pct</t>
        </is>
      </c>
    </row>
    <row r="7">
      <c r="A7" s="11" t="inlineStr">
        <is>
          <t>Tax rate</t>
        </is>
      </c>
      <c r="B7" s="17" t="n">
        <v>0.22</v>
      </c>
      <c r="C7" s="11" t="inlineStr">
        <is>
          <t>pct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B4:B7">
    <cfRule type="containsBlanks" priority="1" dxfId="0">
      <formula>LEN(TRIM(B4))=0</formula>
    </cfRule>
  </conditionalFormatting>
  <dataValidations count="2">
    <dataValidation sqref="B4" showDropDown="0" showInputMessage="1" showErrorMessage="1" allowBlank="0" errorTitle="Invalid units" error="Units sold must be a whole number greater than or equal to 0." promptTitle="Units sold" prompt="Enter the synthetic unit volume (whole number, 0 or more)." type="whole" operator="greaterThanOrEqual">
      <formula1>0</formula1>
    </dataValidation>
    <dataValidation sqref="B6 B7" showDropDown="0" showInputMessage="1" showErrorMessage="1" allowBlank="0" errorTitle="Invalid rate" error="Rate must be a decimal between 0 and 1." promptTitle="Rate (0-1)" prompt="Enter a rate as a fraction between 0 and 1 (e.g. 0.12 for 12%)." type="decimal" operator="between">
      <formula1>0</formula1>
      <formula2>1</formula2>
    </dataValidation>
  </dataValidations>
  <pageMargins left="0.75" right="0.75" top="1" bottom="1" header="0.5" footer="0.5"/>
  <headerFooter>
    <oddHeader>&amp;C&amp;A</oddHeader>
    <oddFooter>&amp;RPage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4" t="inlineStr">
        <is>
          <t>Revenue Model</t>
        </is>
      </c>
    </row>
    <row r="3">
      <c r="A3" s="3" t="inlineStr">
        <is>
          <t>Line item</t>
        </is>
      </c>
      <c r="B3" s="3" t="inlineStr">
        <is>
          <t>Q1</t>
        </is>
      </c>
      <c r="C3" s="3" t="inlineStr">
        <is>
          <t>Q2</t>
        </is>
      </c>
      <c r="D3" s="3" t="inlineStr">
        <is>
          <t>Q3</t>
        </is>
      </c>
      <c r="E3" s="3" t="inlineStr">
        <is>
          <t>Q4</t>
        </is>
      </c>
      <c r="F3" s="3" t="inlineStr">
        <is>
          <t>FY Total</t>
        </is>
      </c>
      <c r="G3" s="3" t="inlineStr">
        <is>
          <t>% of FY</t>
        </is>
      </c>
    </row>
    <row r="4">
      <c r="A4" t="inlineStr">
        <is>
          <t>Gross revenue</t>
        </is>
      </c>
      <c r="B4" s="18" t="n">
        <v>320000</v>
      </c>
      <c r="C4" s="18" t="n">
        <v>351000</v>
      </c>
      <c r="D4" s="18" t="n">
        <v>372500</v>
      </c>
      <c r="E4" s="18" t="n">
        <v>410000</v>
      </c>
      <c r="F4" s="18">
        <f>SUM(B4:E4)</f>
        <v/>
      </c>
      <c r="G4" s="19">
        <f>IF($F$7=0,0,F4/$F$7)</f>
        <v/>
      </c>
    </row>
    <row r="5">
      <c r="A5" t="inlineStr">
        <is>
          <t>Discounts</t>
        </is>
      </c>
      <c r="B5" s="20" t="n">
        <v>-38400</v>
      </c>
      <c r="C5" s="20" t="n">
        <v>-42120</v>
      </c>
      <c r="D5" s="20" t="n">
        <v>-44700</v>
      </c>
      <c r="E5" s="20" t="n">
        <v>-49200</v>
      </c>
      <c r="F5" s="20">
        <f>SUM(B5:E5)</f>
        <v/>
      </c>
      <c r="G5" s="19">
        <f>IF($F$7=0,0,F5/$F$7)</f>
        <v/>
      </c>
    </row>
    <row r="6">
      <c r="A6" t="inlineStr">
        <is>
          <t>Returns</t>
        </is>
      </c>
      <c r="B6" s="20" t="n">
        <v>-9600</v>
      </c>
      <c r="C6" s="20" t="n">
        <v>-10530</v>
      </c>
      <c r="D6" s="20" t="n">
        <v>-11175</v>
      </c>
      <c r="E6" s="20" t="n">
        <v>-12300</v>
      </c>
      <c r="F6" s="20">
        <f>SUM(B6:E6)</f>
        <v/>
      </c>
      <c r="G6" s="19">
        <f>IF($F$7=0,0,F6/$F$7)</f>
        <v/>
      </c>
    </row>
    <row r="7">
      <c r="A7" t="inlineStr">
        <is>
          <t>Net revenue</t>
        </is>
      </c>
      <c r="B7" s="18">
        <f>SUM(B4:B6)</f>
        <v/>
      </c>
      <c r="C7" s="18">
        <f>SUM(C4:C6)</f>
        <v/>
      </c>
      <c r="D7" s="18">
        <f>SUM(D4:D6)</f>
        <v/>
      </c>
      <c r="E7" s="18">
        <f>SUM(E4:E6)</f>
        <v/>
      </c>
      <c r="F7" s="18">
        <f>SUM(B7:E7)</f>
        <v/>
      </c>
      <c r="G7" s="19">
        <f>IF($F$7=0,0,F7/$F$7)</f>
        <v/>
      </c>
    </row>
    <row r="8">
      <c r="A8" s="21" t="inlineStr">
        <is>
          <t>Total</t>
        </is>
      </c>
      <c r="F8" s="21">
        <f>SUBTOTAL(109,F4:F7)</f>
        <v/>
      </c>
    </row>
    <row r="10">
      <c r="A10" s="21" t="inlineStr">
        <is>
          <t>Subtotal (visible)</t>
        </is>
      </c>
      <c r="F10" s="22">
        <f>SUBTOTAL(9,F4:F6)</f>
        <v/>
      </c>
      <c r="G10" s="18">
        <f>SUM(BrandDocsDataTbl[FY Total])</f>
        <v/>
      </c>
    </row>
  </sheetData>
  <conditionalFormatting sqref="B4:E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top10" rank="3" priority="5" dxfId="1"/>
  </conditionalFormatting>
  <conditionalFormatting sqref="G4:G7">
    <cfRule type="cellIs" priority="2" operator="greaterThan" dxfId="2">
      <formula>0.5</formula>
    </cfRule>
  </conditionalFormatting>
  <conditionalFormatting sqref="F4:F6">
    <cfRule type="expression" priority="3" dxfId="3">
      <formula>F4&lt;0</formula>
    </cfRule>
  </conditionalFormatting>
  <conditionalFormatting sqref="G4:G6">
    <cfRule type="iconSet" priority="4">
      <iconSet iconSet="3TrafficLights1">
        <cfvo type="percent" val="0"/>
        <cfvo type="percent" val="33"/>
        <cfvo type="percent" val="67"/>
      </iconSet>
    </cfRule>
  </conditionalFormatting>
  <pageMargins left="0.75" right="0.75" top="1" bottom="1" header="0.5" footer="0.5"/>
  <pageSetup orientation="landscape" fitToHeight="1" fitToWidth="1"/>
  <headerFooter>
    <oddHeader>&amp;L&amp;D&amp;C&amp;A</oddHeader>
    <oddFooter>&amp;RPage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14" t="inlineStr">
        <is>
          <t>Executive Summary</t>
        </is>
      </c>
    </row>
    <row r="3">
      <c r="A3" s="3" t="inlineStr">
        <is>
          <t>Metric</t>
        </is>
      </c>
      <c r="B3" s="3" t="inlineStr">
        <is>
          <t>Value</t>
        </is>
      </c>
    </row>
    <row r="4">
      <c r="A4" t="inlineStr">
        <is>
          <t>FY net revenue</t>
        </is>
      </c>
      <c r="B4" s="18">
        <f>Model!F7</f>
        <v/>
      </c>
    </row>
    <row r="5">
      <c r="A5" t="inlineStr">
        <is>
          <t>Units sold (input)</t>
        </is>
      </c>
      <c r="B5" s="18">
        <f>Inputs!B4</f>
        <v/>
      </c>
    </row>
    <row r="6">
      <c r="A6" t="inlineStr">
        <is>
          <t>Unit price (input)</t>
        </is>
      </c>
      <c r="B6" s="23">
        <f>Inputs!B5</f>
        <v/>
      </c>
    </row>
    <row r="7">
      <c r="A7" t="inlineStr">
        <is>
          <t>Implied gross</t>
        </is>
      </c>
      <c r="B7" s="23">
        <f>Inputs!B4*Inputs!B5</f>
        <v/>
      </c>
    </row>
    <row r="8">
      <c r="A8" t="inlineStr">
        <is>
          <t>Net margin</t>
        </is>
      </c>
      <c r="B8" s="24">
        <f>IF(B7=0,0,B4/B7)</f>
        <v/>
      </c>
    </row>
    <row r="9">
      <c r="A9" t="inlineStr">
        <is>
          <t>Headline KPI</t>
        </is>
      </c>
      <c r="B9" t="inlineStr">
        <is>
          <t>85% net margin on $1.45M gross</t>
        </is>
      </c>
    </row>
  </sheetData>
  <conditionalFormatting sqref="B4:B8">
    <cfRule type="top10" rank="1" priority="1" dxfId="0"/>
  </conditionalFormatting>
  <pageMargins left="0.75" right="0.75" top="1" bottom="1" header="0.5" footer="0.5"/>
  <pageSetup fitToHeight="1" fitToWidth="1"/>
  <headerFooter>
    <oddHeader>&amp;L&amp;D&amp;C&amp;A</oddHeader>
    <oddFooter>&amp;RPage &amp;P of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5" t="inlineStr">
        <is>
          <t>Executive Dashboard</t>
        </is>
      </c>
    </row>
    <row r="2">
      <c r="A2" s="26" t="inlineStr">
        <is>
          <t>Formula-backed snapshot generated from the model, inputs, and summary tabs</t>
        </is>
      </c>
    </row>
    <row r="4">
      <c r="A4" s="3" t="inlineStr">
        <is>
          <t>FY net revenue</t>
        </is>
      </c>
      <c r="C4" s="3" t="inlineStr">
        <is>
          <t>Net margin</t>
        </is>
      </c>
      <c r="E4" s="3" t="inlineStr">
        <is>
          <t>Input units</t>
        </is>
      </c>
      <c r="G4" s="3" t="inlineStr">
        <is>
          <t>Scenario</t>
        </is>
      </c>
    </row>
    <row r="5">
      <c r="A5" s="27">
        <f>Summary!B4</f>
        <v/>
      </c>
      <c r="C5" s="28">
        <f>Summary!B8</f>
        <v/>
      </c>
      <c r="E5" s="27">
        <f>Summary!B5</f>
        <v/>
      </c>
      <c r="G5" s="29">
        <f>Scenarios!B3</f>
        <v/>
      </c>
    </row>
    <row r="7">
      <c r="A7" s="3" t="inlineStr">
        <is>
          <t>Quarter</t>
        </is>
      </c>
      <c r="B7" s="3" t="inlineStr">
        <is>
          <t>Net revenue</t>
        </is>
      </c>
      <c r="C7" s="3" t="inlineStr">
        <is>
          <t>Growth</t>
        </is>
      </c>
    </row>
    <row r="8">
      <c r="A8" t="inlineStr">
        <is>
          <t>Q1</t>
        </is>
      </c>
      <c r="B8" s="18">
        <f>Model!B7</f>
        <v/>
      </c>
      <c r="C8" t="inlineStr">
        <is>
          <t>-</t>
        </is>
      </c>
    </row>
    <row r="9">
      <c r="A9" t="inlineStr">
        <is>
          <t>Q2</t>
        </is>
      </c>
      <c r="B9" s="18">
        <f>Model!C7</f>
        <v/>
      </c>
      <c r="C9" s="19">
        <f>IF(B8=0,0,B9/B8-1)</f>
        <v/>
      </c>
    </row>
    <row r="10">
      <c r="A10" t="inlineStr">
        <is>
          <t>Q3</t>
        </is>
      </c>
      <c r="B10" s="18">
        <f>Model!D7</f>
        <v/>
      </c>
      <c r="C10" s="19">
        <f>IF(B9=0,0,B10/B9-1)</f>
        <v/>
      </c>
    </row>
    <row r="11">
      <c r="A11" t="inlineStr">
        <is>
          <t>Q4</t>
        </is>
      </c>
      <c r="B11" s="18">
        <f>Model!E7</f>
        <v/>
      </c>
      <c r="C11" s="19">
        <f>IF(B10=0,0,B11/B10-1)</f>
        <v/>
      </c>
    </row>
    <row r="14">
      <c r="A14" s="10" t="inlineStr">
        <is>
          <t>KPI trends</t>
        </is>
      </c>
    </row>
    <row r="15">
      <c r="A15" s="3" t="inlineStr">
        <is>
          <t>KPI</t>
        </is>
      </c>
      <c r="B15" s="3" t="inlineStr">
        <is>
          <t>Q1</t>
        </is>
      </c>
      <c r="C15" s="3" t="inlineStr">
        <is>
          <t>Q2</t>
        </is>
      </c>
      <c r="D15" s="3" t="inlineStr">
        <is>
          <t>Q3</t>
        </is>
      </c>
      <c r="E15" s="3" t="inlineStr">
        <is>
          <t>Q4</t>
        </is>
      </c>
      <c r="F15" s="3" t="inlineStr">
        <is>
          <t>Trend</t>
        </is>
      </c>
      <c r="G15" s="3" t="inlineStr">
        <is>
          <t>QoQ / delta</t>
        </is>
      </c>
    </row>
    <row r="16">
      <c r="A16" t="inlineStr">
        <is>
          <t>Net revenue</t>
        </is>
      </c>
      <c r="B16" s="18" t="n">
        <v>272000</v>
      </c>
      <c r="C16" s="18" t="n">
        <v>298350</v>
      </c>
      <c r="D16" s="18" t="n">
        <v>316625</v>
      </c>
      <c r="E16" s="18" t="n">
        <v>348500</v>
      </c>
      <c r="G16" s="30">
        <f>IF(B11=0,0,B11/B8-1)</f>
        <v/>
      </c>
    </row>
    <row r="17">
      <c r="A17" t="inlineStr">
        <is>
          <t>Bookings</t>
        </is>
      </c>
      <c r="B17" s="18" t="n">
        <v>240000</v>
      </c>
      <c r="C17" s="18" t="n">
        <v>281000</v>
      </c>
      <c r="D17" s="18" t="n">
        <v>305000</v>
      </c>
      <c r="E17" s="18" t="n">
        <v>366000</v>
      </c>
      <c r="G17" s="31">
        <f>ROUND((Summary!B8-0.85)*10000,0)</f>
        <v/>
      </c>
    </row>
    <row r="18">
      <c r="A18" t="inlineStr">
        <is>
          <t>Active seats</t>
        </is>
      </c>
      <c r="B18" s="18" t="n">
        <v>1180</v>
      </c>
      <c r="C18" s="18" t="n">
        <v>1240</v>
      </c>
      <c r="D18" s="18" t="n">
        <v>1305</v>
      </c>
      <c r="E18" s="18" t="n">
        <v>1402</v>
      </c>
    </row>
  </sheetData>
  <mergeCells count="10">
    <mergeCell ref="A4:B4"/>
    <mergeCell ref="G4:H4"/>
    <mergeCell ref="E4:F4"/>
    <mergeCell ref="A1:G1"/>
    <mergeCell ref="C5:D5"/>
    <mergeCell ref="A5:B5"/>
    <mergeCell ref="G5:H5"/>
    <mergeCell ref="E5:F5"/>
    <mergeCell ref="A2:G2"/>
    <mergeCell ref="C4:D4"/>
  </mergeCells>
  <conditionalFormatting sqref="B8:B11">
    <cfRule type="dataBar" priority="1">
      <dataBar showValue="1">
        <cfvo type="min"/>
        <cfvo type="max"/>
        <color rgb="002B7CD3"/>
      </dataBar>
    </cfRule>
  </conditionalFormatting>
  <conditionalFormatting sqref="C9:C11">
    <cfRule type="iconSet" priority="2">
      <iconSet iconSet="3Arrows">
        <cfvo type="percent" val="0"/>
        <cfvo type="percent" val="33"/>
        <cfvo type="percent" val="67"/>
      </iconSet>
    </cfRule>
  </conditionalFormatting>
  <pageMargins left="0.75" right="0.75" top="1" bottom="1" header="0.5" footer="0.5"/>
  <pageSetup orientation="landscape" fitToHeight="1" fitToWidth="1"/>
  <headerFooter>
    <oddHeader>&amp;L&amp;D&amp;C&amp;A</oddHeader>
    <oddFooter>&amp;RPage &amp;P of &amp;N</oddFooter>
    <evenHeader/>
    <evenFooter/>
    <firstHeader/>
    <firstFooter/>
  </headerFooter>
  <drawing xmlns:r="http://schemas.openxmlformats.org/officeDocument/2006/relationships" r:id="rId1"/>
  <extLst>
    <ext xmlns:r="http://schemas.openxmlformats.org/officeDocument/2006/relationships" r:id="rIdSparkline" uri="{05C60535-1F16-4fd2-B633-F4F36F0B64E0}">
      <x14:sparklineGroups xmlns:x14="http://schemas.microsoft.com/office/spreadsheetml/2009/9/main" xmlns:xm="http://schemas.microsoft.com/office/excel/2006/main">
        <x14:sparklineGroup displayEmptyCellsAs="gap" type="line">
          <x14:colorSeries rgb="FF2B7CD3"/>
          <x14:colorNegative rgb="FFE0742B"/>
          <x14:colorMarkers rgb="FF16213F"/>
          <x14:sparklines>
            <x14:sparkline>
              <xm:f>Dashboard!B16:E16</xm:f>
              <xm:sqref>F16</xm:sqref>
            </x14:sparkline>
          </x14:sparklines>
        </x14:sparklineGroup>
        <x14:sparklineGroup displayEmptyCellsAs="gap" type="line">
          <x14:colorSeries rgb="FF2B7CD3"/>
          <x14:colorNegative rgb="FFE0742B"/>
          <x14:colorMarkers rgb="FF16213F"/>
          <x14:sparklines>
            <x14:sparkline>
              <xm:f>Dashboard!B17:E17</xm:f>
              <xm:sqref>F17</xm:sqref>
            </x14:sparkline>
          </x14:sparklines>
        </x14:sparklineGroup>
        <x14:sparklineGroup displayEmptyCellsAs="gap" type="line">
          <x14:colorSeries rgb="FF2B7CD3"/>
          <x14:colorNegative rgb="FFE0742B"/>
          <x14:colorMarkers rgb="FF16213F"/>
          <x14:sparklines>
            <x14:sparkline>
              <xm:f>Dashboard!B18:E18</xm:f>
              <xm:sqref>F18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24" customWidth="1" min="4" max="4"/>
  </cols>
  <sheetData>
    <row r="1">
      <c r="A1" s="14" t="inlineStr">
        <is>
          <t>Scenario Controls</t>
        </is>
      </c>
    </row>
    <row r="3">
      <c r="A3" t="inlineStr">
        <is>
          <t>Selected scenario</t>
        </is>
      </c>
      <c r="B3" s="11" t="inlineStr">
        <is>
          <t>Base</t>
        </is>
      </c>
    </row>
    <row r="5">
      <c r="A5" s="3" t="inlineStr">
        <is>
          <t>Scenario</t>
        </is>
      </c>
      <c r="B5" s="3" t="inlineStr">
        <is>
          <t>Revenue multiplier</t>
        </is>
      </c>
      <c r="C5" s="3" t="inlineStr">
        <is>
          <t>Margin delta</t>
        </is>
      </c>
      <c r="D5" s="3" t="inlineStr">
        <is>
          <t>Narrative</t>
        </is>
      </c>
    </row>
    <row r="6">
      <c r="A6" t="inlineStr">
        <is>
          <t>Base</t>
        </is>
      </c>
      <c r="B6" s="32" t="n">
        <v>1</v>
      </c>
      <c r="C6" s="24" t="n">
        <v>0</v>
      </c>
      <c r="D6" t="inlineStr">
        <is>
          <t>Plan case</t>
        </is>
      </c>
    </row>
    <row r="7">
      <c r="A7" t="inlineStr">
        <is>
          <t>Upside</t>
        </is>
      </c>
      <c r="B7" s="32" t="n">
        <v>1.12</v>
      </c>
      <c r="C7" s="24" t="n">
        <v>0.025</v>
      </c>
      <c r="D7" t="inlineStr">
        <is>
          <t>Faster adoption</t>
        </is>
      </c>
    </row>
    <row r="8">
      <c r="A8" t="inlineStr">
        <is>
          <t>Downside</t>
        </is>
      </c>
      <c r="B8" s="32" t="n">
        <v>0.91</v>
      </c>
      <c r="C8" s="24" t="n">
        <v>-0.035</v>
      </c>
      <c r="D8" t="inlineStr">
        <is>
          <t>Cost pressure</t>
        </is>
      </c>
    </row>
    <row r="10">
      <c r="A10" t="inlineStr">
        <is>
          <t>Scenario revenue</t>
        </is>
      </c>
      <c r="B10" s="18">
        <f>Summary!B4*INDEX(B6:B8,MATCH($B$3,A6:A8,0))</f>
        <v/>
      </c>
    </row>
    <row r="11">
      <c r="A11" t="inlineStr">
        <is>
          <t>Scenario margin</t>
        </is>
      </c>
      <c r="B11" s="19">
        <f>Summary!B8+INDEX(C6:C8,MATCH($B$3,A6:A8,0))</f>
        <v/>
      </c>
    </row>
  </sheetData>
  <dataValidations count="2">
    <dataValidation sqref="B3" showDropDown="0" showInputMessage="0" showErrorMessage="0" allowBlank="0" type="list">
      <formula1>"Base,Upside,Downside"</formula1>
    </dataValidation>
    <dataValidation sqref="B3" showDropDown="0" showInputMessage="1" showErrorMessage="1" allowBlank="0" errorTitle="Unknown scenario" error="The scenario must match one of Base / Upside / Downside." promptTitle="Scenario" prompt="Pick a scenario that exists in the scenario table below." type="custom">
      <formula1>=COUNTIF($A$6:$A$8,$B$3)&gt;0</formula1>
    </dataValidation>
  </dataValidations>
  <pageMargins left="0.75" right="0.75" top="1" bottom="1" header="0.5" footer="0.5"/>
  <pageSetup fitToHeight="1" fitToWidth="1"/>
  <headerFooter>
    <oddHeader>&amp;L&amp;D&amp;C&amp;A</oddHeader>
    <oddFooter>&amp;RPage &amp;P of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6" customWidth="1" min="4" max="4"/>
  </cols>
  <sheetData>
    <row r="1">
      <c r="A1" s="3" t="inlineStr">
        <is>
          <t>Date</t>
        </is>
      </c>
      <c r="B1" s="3" t="inlineStr">
        <is>
          <t>Region</t>
        </is>
      </c>
      <c r="C1" s="3" t="inlineStr">
        <is>
          <t>Product</t>
        </is>
      </c>
      <c r="D1" s="3" t="inlineStr">
        <is>
          <t>Amount</t>
        </is>
      </c>
    </row>
    <row r="2">
      <c r="A2" s="8" t="inlineStr">
        <is>
          <t>2025-10-01</t>
        </is>
      </c>
      <c r="B2" t="inlineStr">
        <is>
          <t>North</t>
        </is>
      </c>
      <c r="C2" t="inlineStr">
        <is>
          <t>Widget</t>
        </is>
      </c>
      <c r="D2" s="33" t="n">
        <v>12500</v>
      </c>
    </row>
    <row r="3">
      <c r="A3" s="8" t="inlineStr">
        <is>
          <t>2025-10-02</t>
        </is>
      </c>
      <c r="B3" t="inlineStr">
        <is>
          <t>South</t>
        </is>
      </c>
      <c r="C3" t="inlineStr">
        <is>
          <t>Gadget</t>
        </is>
      </c>
      <c r="D3" s="33" t="n">
        <v>9800</v>
      </c>
    </row>
    <row r="4">
      <c r="A4" s="8" t="inlineStr">
        <is>
          <t>2025-10-03</t>
        </is>
      </c>
      <c r="B4" t="inlineStr">
        <is>
          <t>East</t>
        </is>
      </c>
      <c r="C4" t="inlineStr">
        <is>
          <t>Widget</t>
        </is>
      </c>
      <c r="D4" s="33" t="n">
        <v>14200</v>
      </c>
    </row>
    <row r="5">
      <c r="C5" s="21" t="inlineStr">
        <is>
          <t>Total</t>
        </is>
      </c>
      <c r="D5" s="22">
        <f>SUM(D2:D4)</f>
        <v/>
      </c>
    </row>
  </sheetData>
  <conditionalFormatting sqref="B2:B4">
    <cfRule type="duplicateValues" priority="1" dxfId="0"/>
  </conditionalFormatting>
  <conditionalFormatting sqref="C2:C4">
    <cfRule type="containsText" priority="2" operator="containsText" dxfId="0" text="Widget">
      <formula>NOT(ISERROR(SEARCH("Widget",C2)))</formula>
    </cfRule>
  </conditionalFormatting>
  <dataValidations count="1">
    <dataValidation sqref="A2:A4" showDropDown="0" showInputMessage="1" showErrorMessage="1" allowBlank="0" errorTitle="Invalid date" error="Date must be on or after 2000-01-01." promptTitle="Transaction date" prompt="Enter the transaction date (ISO yyyy-mm-dd)." type="date" operator="greaterThanOrEqual">
      <formula1>2000-01-01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2026-06-05T00:00:00Z</dcterms:created>
  <dcterms:modified xmlns:dcterms="http://purl.org/dc/terms/" xmlns:xsi="http://www.w3.org/2001/XMLSchema-instance" xsi:type="dcterms:W3CDTF">2026-06-05T00:00:00Z</dcterms:modified>
</cp:coreProperties>
</file>