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" sheetId="5" state="visible" r:id="rId5"/>
  </sheets>
  <definedNames>
    <definedName name="client_name">'Cover'!$B$4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yyyy-mm-dd"/>
    <numFmt numFmtId="167" formatCode="_($* #,##0_);_($* (#,##0);_($* &quot;-&quot;_);_(@_)"/>
  </numFmts>
  <fonts count="7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i val="1"/>
      <color rgb="FF2B7CD3"/>
      <sz val="12"/>
    </font>
    <font>
      <name val="Arial"/>
      <b val="1"/>
      <color rgb="FF16213F"/>
      <sz val="14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3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</borders>
  <cellStyleXfs count="6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</cellStyleXfs>
  <cellXfs count="12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166" fontId="0" fillId="0" borderId="0" pivotButton="0" quotePrefix="0" xfId="0"/>
    <xf numFmtId="0" fontId="6" fillId="0" borderId="0" pivotButton="0" quotePrefix="0" xfId="0"/>
    <xf numFmtId="0" fontId="2" fillId="2" borderId="2" applyAlignment="1" pivotButton="0" quotePrefix="0" xfId="2">
      <alignment horizontal="center" vertical="center"/>
    </xf>
    <xf numFmtId="0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 hidden="0"/>
    <cellStyle name="DocuSkillsTitle" xfId="1" hidden="0"/>
    <cellStyle name="DocuSkillsHeader" xfId="2" hidden="0"/>
    <cellStyle name="DocuSkillsCurrency" xfId="3" hidden="0"/>
    <cellStyle name="DocuSkillsPercent" xfId="4" hidden="0"/>
    <cellStyle name="DocuSkillsInput" xfId="5" hidden="0"/>
  </cellStyles>
  <dxfs count="2"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total by line item</a:t>
            </a:r>
          </a:p>
        </rich>
      </tx>
    </title>
    <plotArea>
      <lineChart>
        <grouping val="standard"/>
        <ser>
          <idx val="0"/>
          <order val="0"/>
          <tx>
            <strRef>
              <f>'Model'!F3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'Model'!$F$4:$F$7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9144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ocuSkillsDataTbl" displayName="DocuSkills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{{report_title}}</t>
        </is>
      </c>
    </row>
    <row r="2">
      <c r="A2" s="2" t="inlineStr">
        <is>
          <t>{{report_subtitle}}</t>
        </is>
      </c>
    </row>
    <row r="4">
      <c r="A4" t="inlineStr">
        <is>
          <t>Prepared for</t>
        </is>
      </c>
      <c r="B4" t="inlineStr">
        <is>
          <t>{{client_name}}</t>
        </is>
      </c>
    </row>
    <row r="5">
      <c r="A5" t="inlineStr">
        <is>
          <t>Reporting period</t>
        </is>
      </c>
      <c r="B5" t="inlineStr">
        <is>
          <t>{{period}}</t>
        </is>
      </c>
    </row>
    <row r="6">
      <c r="A6" t="inlineStr">
        <is>
          <t>Generated on</t>
        </is>
      </c>
      <c r="B6" s="3" t="inlineStr">
        <is>
          <t>2026-01-15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Model Inputs</t>
        </is>
      </c>
    </row>
    <row r="3">
      <c r="A3" s="5" t="inlineStr">
        <is>
          <t>Driver</t>
        </is>
      </c>
      <c r="B3" s="5" t="inlineStr">
        <is>
          <t>Value</t>
        </is>
      </c>
      <c r="C3" s="5" t="inlineStr">
        <is>
          <t>Unit</t>
        </is>
      </c>
    </row>
    <row r="4">
      <c r="A4" s="6" t="inlineStr">
        <is>
          <t>Units sold</t>
        </is>
      </c>
      <c r="B4" s="6" t="n">
        <v>1200</v>
      </c>
      <c r="C4" s="6" t="inlineStr">
        <is>
          <t>ea</t>
        </is>
      </c>
    </row>
    <row r="5">
      <c r="A5" s="6" t="inlineStr">
        <is>
          <t>Unit price</t>
        </is>
      </c>
      <c r="B5" s="7" t="n">
        <v>49.5</v>
      </c>
      <c r="C5" s="6" t="inlineStr">
        <is>
          <t>USD</t>
        </is>
      </c>
    </row>
    <row r="6">
      <c r="A6" s="6" t="inlineStr">
        <is>
          <t>Discount rate</t>
        </is>
      </c>
      <c r="B6" s="8" t="n">
        <v>0.12</v>
      </c>
      <c r="C6" s="6" t="inlineStr">
        <is>
          <t>pct</t>
        </is>
      </c>
    </row>
    <row r="7">
      <c r="A7" s="6" t="inlineStr">
        <is>
          <t>Tax rate</t>
        </is>
      </c>
      <c r="B7" s="8" t="n">
        <v>0.22</v>
      </c>
      <c r="C7" s="6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Revenue Model</t>
        </is>
      </c>
    </row>
    <row r="3">
      <c r="A3" s="5" t="inlineStr">
        <is>
          <t>Line item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  <c r="F3" s="5" t="inlineStr">
        <is>
          <t>FY Total</t>
        </is>
      </c>
      <c r="G3" s="5" t="inlineStr">
        <is>
          <t>% of FY</t>
        </is>
      </c>
    </row>
    <row r="4">
      <c r="A4" t="inlineStr">
        <is>
          <t>Gross revenue</t>
        </is>
      </c>
      <c r="B4" s="9" t="n">
        <v>320000</v>
      </c>
      <c r="C4" s="9" t="n">
        <v>351000</v>
      </c>
      <c r="D4" s="9" t="n">
        <v>372500</v>
      </c>
      <c r="E4" s="9" t="n">
        <v>410000</v>
      </c>
      <c r="F4" s="9">
        <f>SUM(B4:E4)</f>
        <v/>
      </c>
      <c r="G4" s="10">
        <f>IF($F$7=0,0,F4/$F$7)</f>
        <v/>
      </c>
    </row>
    <row r="5">
      <c r="A5" t="inlineStr">
        <is>
          <t>Discounts</t>
        </is>
      </c>
      <c r="B5" s="9" t="n">
        <v>-38400</v>
      </c>
      <c r="C5" s="9" t="n">
        <v>-42120</v>
      </c>
      <c r="D5" s="9" t="n">
        <v>-44700</v>
      </c>
      <c r="E5" s="9" t="n">
        <v>-49200</v>
      </c>
      <c r="F5" s="9">
        <f>SUM(B5:E5)</f>
        <v/>
      </c>
      <c r="G5" s="10">
        <f>IF($F$7=0,0,F5/$F$7)</f>
        <v/>
      </c>
    </row>
    <row r="6">
      <c r="A6" t="inlineStr">
        <is>
          <t>Returns</t>
        </is>
      </c>
      <c r="B6" s="9" t="n">
        <v>-9600</v>
      </c>
      <c r="C6" s="9" t="n">
        <v>-10530</v>
      </c>
      <c r="D6" s="9" t="n">
        <v>-11175</v>
      </c>
      <c r="E6" s="9" t="n">
        <v>-12300</v>
      </c>
      <c r="F6" s="9">
        <f>SUM(B6:E6)</f>
        <v/>
      </c>
      <c r="G6" s="10">
        <f>IF($F$7=0,0,F6/$F$7)</f>
        <v/>
      </c>
    </row>
    <row r="7">
      <c r="A7" t="inlineStr">
        <is>
          <t>Net revenue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  <c r="F7" s="9">
        <f>SUM(B7:E7)</f>
        <v/>
      </c>
      <c r="G7" s="10">
        <f>IF($F$7=0,0,F7/$F$7)</f>
        <v/>
      </c>
    </row>
    <row r="9">
      <c r="A9" t="inlineStr">
        <is>
          <t>Subtotal (visible)</t>
        </is>
      </c>
      <c r="F9" s="9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Executive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FY net revenue</t>
        </is>
      </c>
      <c r="B4" s="9">
        <f>Model!F7</f>
        <v/>
      </c>
    </row>
    <row r="5">
      <c r="A5" t="inlineStr">
        <is>
          <t>Units sold (input)</t>
        </is>
      </c>
      <c r="B5">
        <f>Inputs!B4</f>
        <v/>
      </c>
    </row>
    <row r="6">
      <c r="A6" t="inlineStr">
        <is>
          <t>Unit price (input)</t>
        </is>
      </c>
      <c r="B6" s="7">
        <f>Inputs!B5</f>
        <v/>
      </c>
    </row>
    <row r="7">
      <c r="A7" t="inlineStr">
        <is>
          <t>Implied gross</t>
        </is>
      </c>
      <c r="B7" s="7">
        <f>Inputs!B4*Inputs!B5</f>
        <v/>
      </c>
    </row>
    <row r="8">
      <c r="A8" t="inlineStr">
        <is>
          <t>Net margin</t>
        </is>
      </c>
      <c r="B8" s="8">
        <f>IF(B7=0,0,B4/B7)</f>
        <v/>
      </c>
    </row>
    <row r="9">
      <c r="A9" t="inlineStr">
        <is>
          <t>Headline KPI</t>
        </is>
      </c>
      <c r="B9" t="inlineStr">
        <is>
          <t>{{headline_kpi}}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5" t="inlineStr">
        <is>
          <t>Date</t>
        </is>
      </c>
      <c r="B1" s="5" t="inlineStr">
        <is>
          <t>Region</t>
        </is>
      </c>
      <c r="C1" s="5" t="inlineStr">
        <is>
          <t>Product</t>
        </is>
      </c>
      <c r="D1" s="5" t="inlineStr">
        <is>
          <t>Amount</t>
        </is>
      </c>
    </row>
    <row r="2">
      <c r="A2" s="3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11" t="n">
        <v>12500</v>
      </c>
    </row>
    <row r="3">
      <c r="A3" s="3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11" t="n">
        <v>9800</v>
      </c>
    </row>
    <row r="4">
      <c r="A4" s="3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11" t="n">
        <v>14200</v>
      </c>
    </row>
    <row r="5">
      <c r="C5" t="inlineStr">
        <is>
          <t>Total</t>
        </is>
      </c>
      <c r="D5" s="9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