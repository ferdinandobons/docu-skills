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" sheetId="5" state="visible" r:id="rId5"/>
  </sheets>
  <definedNames>
    <definedName name="client_name">'Cover'!$B$4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yyyy-mm-dd"/>
    <numFmt numFmtId="167" formatCode="_($* #,##0_);_($* (#,##0);_($* &quot;-&quot;_);_(@_)"/>
  </numFmts>
  <fonts count="7">
    <font>
      <name val="Calibri"/>
      <family val="2"/>
      <color theme="1"/>
      <sz val="11"/>
      <scheme val="minor"/>
    </font>
    <font>
      <name val="Arial"/>
      <b val="1"/>
      <color rgb="FF1F3864"/>
      <sz val="20"/>
    </font>
    <font>
      <name val="Arial"/>
      <b val="1"/>
      <color rgb="FFFFFFFF"/>
      <sz val="11"/>
    </font>
    <font>
      <name val="Calibri"/>
      <color rgb="FF1F3864"/>
      <sz val="11"/>
    </font>
    <font>
      <name val="Calibri"/>
      <color rgb="FF2E8B8B"/>
      <sz val="11"/>
    </font>
    <font>
      <name val="Arial"/>
      <i val="1"/>
      <color rgb="FF2E8B8B"/>
      <sz val="12"/>
    </font>
    <font>
      <name val="Arial"/>
      <b val="1"/>
      <color rgb="FF1F3864"/>
      <sz val="14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AF0F6"/>
      </patternFill>
    </fill>
  </fills>
  <borders count="3">
    <border>
      <left/>
      <right/>
      <top/>
      <bottom/>
      <diagonal/>
    </border>
    <border/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</borders>
  <cellStyleXfs count="6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</cellStyleXfs>
  <cellXfs count="12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166" fontId="0" fillId="0" borderId="0" pivotButton="0" quotePrefix="0" xfId="0"/>
    <xf numFmtId="0" fontId="6" fillId="0" borderId="0" pivotButton="0" quotePrefix="0" xfId="0"/>
    <xf numFmtId="0" fontId="2" fillId="2" borderId="2" applyAlignment="1" pivotButton="0" quotePrefix="0" xfId="2">
      <alignment horizontal="center" vertical="center"/>
    </xf>
    <xf numFmtId="0" fontId="3" fillId="3" borderId="2" pivotButton="0" quotePrefix="0" xfId="5"/>
    <xf numFmtId="164" fontId="3" fillId="0" borderId="2" pivotButton="0" quotePrefix="0" xfId="3"/>
    <xf numFmtId="165" fontId="4" fillId="0" borderId="2" pivotButton="0" quotePrefix="0" xfId="4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6">
    <cellStyle name="Normal" xfId="0" builtinId="0" hidden="0"/>
    <cellStyle name="AcmeTitle" xfId="1" hidden="0"/>
    <cellStyle name="AcmeHeader" xfId="2" hidden="0"/>
    <cellStyle name="AcmeCurrency" xfId="3" hidden="0"/>
    <cellStyle name="AcmePercent" xfId="4" hidden="0"/>
    <cellStyle name="AcmeInput" xfId="5" hidden="0"/>
  </cellStyles>
  <dxfs count="2">
    <dxf>
      <fill>
        <patternFill patternType="solid">
          <fgColor rgb="FFE8A33D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'Model'!$C$7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'Model'!$D$7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total by line item</a:t>
            </a:r>
          </a:p>
        </rich>
      </tx>
    </title>
    <plotArea>
      <lineChart>
        <grouping val="standard"/>
        <ser>
          <idx val="0"/>
          <order val="0"/>
          <tx>
            <strRef>
              <f>'Model'!F3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'Model'!$F$4:$F$7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9144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cmeDataTbl" displayName="AcmeDataTbl" ref="A3:G7" headerRowCount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{{report_title}}</t>
        </is>
      </c>
    </row>
    <row r="2">
      <c r="A2" s="2" t="inlineStr">
        <is>
          <t>{{report_subtitle}}</t>
        </is>
      </c>
    </row>
    <row r="4">
      <c r="A4" t="inlineStr">
        <is>
          <t>Prepared for</t>
        </is>
      </c>
      <c r="B4" t="inlineStr">
        <is>
          <t>{{client_name}}</t>
        </is>
      </c>
    </row>
    <row r="5">
      <c r="A5" t="inlineStr">
        <is>
          <t>Reporting period</t>
        </is>
      </c>
      <c r="B5" t="inlineStr">
        <is>
          <t>{{period}}</t>
        </is>
      </c>
    </row>
    <row r="6">
      <c r="A6" t="inlineStr">
        <is>
          <t>Generated on</t>
        </is>
      </c>
      <c r="B6" s="3" t="inlineStr">
        <is>
          <t>2026-01-15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Model Inputs</t>
        </is>
      </c>
    </row>
    <row r="3">
      <c r="A3" s="5" t="inlineStr">
        <is>
          <t>Driver</t>
        </is>
      </c>
      <c r="B3" s="5" t="inlineStr">
        <is>
          <t>Value</t>
        </is>
      </c>
      <c r="C3" s="5" t="inlineStr">
        <is>
          <t>Unit</t>
        </is>
      </c>
    </row>
    <row r="4">
      <c r="A4" s="6" t="inlineStr">
        <is>
          <t>Units sold</t>
        </is>
      </c>
      <c r="B4" s="6" t="n">
        <v>1200</v>
      </c>
      <c r="C4" s="6" t="inlineStr">
        <is>
          <t>ea</t>
        </is>
      </c>
    </row>
    <row r="5">
      <c r="A5" s="6" t="inlineStr">
        <is>
          <t>Unit price</t>
        </is>
      </c>
      <c r="B5" s="7" t="n">
        <v>49.5</v>
      </c>
      <c r="C5" s="6" t="inlineStr">
        <is>
          <t>USD</t>
        </is>
      </c>
    </row>
    <row r="6">
      <c r="A6" s="6" t="inlineStr">
        <is>
          <t>Discount rate</t>
        </is>
      </c>
      <c r="B6" s="8" t="n">
        <v>0.12</v>
      </c>
      <c r="C6" s="6" t="inlineStr">
        <is>
          <t>pct</t>
        </is>
      </c>
    </row>
    <row r="7">
      <c r="A7" s="6" t="inlineStr">
        <is>
          <t>Tax rate</t>
        </is>
      </c>
      <c r="B7" s="8" t="n">
        <v>0.22</v>
      </c>
      <c r="C7" s="6" t="inlineStr">
        <is>
          <t>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Revenue Model</t>
        </is>
      </c>
    </row>
    <row r="3">
      <c r="A3" s="5" t="inlineStr">
        <is>
          <t>Line item</t>
        </is>
      </c>
      <c r="B3" s="5" t="inlineStr">
        <is>
          <t>Q1</t>
        </is>
      </c>
      <c r="C3" s="5" t="inlineStr">
        <is>
          <t>Q2</t>
        </is>
      </c>
      <c r="D3" s="5" t="inlineStr">
        <is>
          <t>Q3</t>
        </is>
      </c>
      <c r="E3" s="5" t="inlineStr">
        <is>
          <t>Q4</t>
        </is>
      </c>
      <c r="F3" s="5" t="inlineStr">
        <is>
          <t>FY Total</t>
        </is>
      </c>
      <c r="G3" s="5" t="inlineStr">
        <is>
          <t>% of FY</t>
        </is>
      </c>
    </row>
    <row r="4">
      <c r="A4" t="inlineStr">
        <is>
          <t>Gross revenue</t>
        </is>
      </c>
      <c r="B4" s="9" t="n">
        <v>320000</v>
      </c>
      <c r="C4" s="9" t="n">
        <v>351000</v>
      </c>
      <c r="D4" s="9" t="n">
        <v>372500</v>
      </c>
      <c r="E4" s="9" t="n">
        <v>410000</v>
      </c>
      <c r="F4" s="9">
        <f>SUM(B4:E4)</f>
        <v/>
      </c>
      <c r="G4" s="10">
        <f>IF($F$7=0,0,F4/$F$7)</f>
        <v/>
      </c>
    </row>
    <row r="5">
      <c r="A5" t="inlineStr">
        <is>
          <t>Discounts</t>
        </is>
      </c>
      <c r="B5" s="9" t="n">
        <v>-38400</v>
      </c>
      <c r="C5" s="9" t="n">
        <v>-42120</v>
      </c>
      <c r="D5" s="9" t="n">
        <v>-44700</v>
      </c>
      <c r="E5" s="9" t="n">
        <v>-49200</v>
      </c>
      <c r="F5" s="9">
        <f>SUM(B5:E5)</f>
        <v/>
      </c>
      <c r="G5" s="10">
        <f>IF($F$7=0,0,F5/$F$7)</f>
        <v/>
      </c>
    </row>
    <row r="6">
      <c r="A6" t="inlineStr">
        <is>
          <t>Returns</t>
        </is>
      </c>
      <c r="B6" s="9" t="n">
        <v>-9600</v>
      </c>
      <c r="C6" s="9" t="n">
        <v>-10530</v>
      </c>
      <c r="D6" s="9" t="n">
        <v>-11175</v>
      </c>
      <c r="E6" s="9" t="n">
        <v>-12300</v>
      </c>
      <c r="F6" s="9">
        <f>SUM(B6:E6)</f>
        <v/>
      </c>
      <c r="G6" s="10">
        <f>IF($F$7=0,0,F6/$F$7)</f>
        <v/>
      </c>
    </row>
    <row r="7">
      <c r="A7" t="inlineStr">
        <is>
          <t>Net revenue</t>
        </is>
      </c>
      <c r="B7">
        <f>SUM(B4:B6)</f>
        <v/>
      </c>
      <c r="C7">
        <f>SUM(C4:C6)</f>
        <v/>
      </c>
      <c r="D7">
        <f>SUM(D4:D6)</f>
        <v/>
      </c>
      <c r="E7">
        <f>SUM(E4:E6)</f>
        <v/>
      </c>
      <c r="F7" s="9">
        <f>SUM(B7:E7)</f>
        <v/>
      </c>
      <c r="G7" s="10">
        <f>IF($F$7=0,0,F7/$F$7)</f>
        <v/>
      </c>
    </row>
    <row r="9">
      <c r="A9" t="inlineStr">
        <is>
          <t>Subtotal (visible)</t>
        </is>
      </c>
      <c r="F9" s="9">
        <f>SUBTOTAL(9,F4:F6)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cellIs" priority="2" operator="greaterThan" dxfId="0">
      <formula>0.5</formula>
    </cfRule>
  </conditionalFormatting>
  <conditionalFormatting sqref="F4:F6">
    <cfRule type="expression" priority="3" dxfId="1">
      <formula>F4&lt;0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4" t="inlineStr">
        <is>
          <t>Executive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FY net revenue</t>
        </is>
      </c>
      <c r="B4" s="9">
        <f>Model!F7</f>
        <v/>
      </c>
    </row>
    <row r="5">
      <c r="A5" t="inlineStr">
        <is>
          <t>Units sold (input)</t>
        </is>
      </c>
      <c r="B5">
        <f>Inputs!B4</f>
        <v/>
      </c>
    </row>
    <row r="6">
      <c r="A6" t="inlineStr">
        <is>
          <t>Unit price (input)</t>
        </is>
      </c>
      <c r="B6" s="7">
        <f>Inputs!B5</f>
        <v/>
      </c>
    </row>
    <row r="7">
      <c r="A7" t="inlineStr">
        <is>
          <t>Implied gross</t>
        </is>
      </c>
      <c r="B7" s="7">
        <f>Inputs!B4*Inputs!B5</f>
        <v/>
      </c>
    </row>
    <row r="8">
      <c r="A8" t="inlineStr">
        <is>
          <t>Net margin</t>
        </is>
      </c>
      <c r="B8" s="8">
        <f>IF(B7=0,0,B4/B7)</f>
        <v/>
      </c>
    </row>
    <row r="9">
      <c r="A9" t="inlineStr">
        <is>
          <t>Headline KPI</t>
        </is>
      </c>
      <c r="B9" t="inlineStr">
        <is>
          <t>{{headline_kpi}}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5" t="inlineStr">
        <is>
          <t>Date</t>
        </is>
      </c>
      <c r="B1" s="5" t="inlineStr">
        <is>
          <t>Region</t>
        </is>
      </c>
      <c r="C1" s="5" t="inlineStr">
        <is>
          <t>Product</t>
        </is>
      </c>
      <c r="D1" s="5" t="inlineStr">
        <is>
          <t>Amount</t>
        </is>
      </c>
    </row>
    <row r="2">
      <c r="A2" s="3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11" t="n">
        <v>12500</v>
      </c>
    </row>
    <row r="3">
      <c r="A3" s="3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11" t="n">
        <v>9800</v>
      </c>
    </row>
    <row r="4">
      <c r="A4" s="3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11" t="n">
        <v>14200</v>
      </c>
    </row>
    <row r="5">
      <c r="C5" t="inlineStr">
        <is>
          <t>Total</t>
        </is>
      </c>
      <c r="D5" s="9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2026-06-05T16:31:44Z</dcterms:created>
  <dcterms:modified xmlns:dcterms="http://purl.org/dc/terms/" xmlns:xsi="http://www.w3.org/2001/XMLSchema-instance" xsi:type="dcterms:W3CDTF">2026-06-05T16:31:44Z</dcterms:modified>
</cp:coreProperties>
</file>